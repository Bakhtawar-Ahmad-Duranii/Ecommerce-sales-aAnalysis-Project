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80" windowHeight="7500" activeTab="2"/>
  </bookViews>
  <sheets>
    <sheet name="Sheet1" sheetId="1" r:id="rId1"/>
    <sheet name="Sheet2" sheetId="2" r:id="rId2"/>
    <sheet name="Sheet3" sheetId="3" r:id="rId3"/>
  </sheets>
  <calcPr calcId="191029"/>
  <pivotCaches>
    <pivotCache cacheId="0" r:id="rId4"/>
    <pivotCache cacheId="1" r:id="rId5"/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<sst xmlns="http://schemas.openxmlformats.org/spreadsheetml/2006/main" count="73" uniqueCount="28">
  <si>
    <t>Ecommerce Sales Analysis _ Project Report</t>
  </si>
  <si>
    <t xml:space="preserve">                        City_Wise Total Revenue</t>
  </si>
  <si>
    <t>City Name</t>
  </si>
  <si>
    <t>Total-Revenue</t>
  </si>
  <si>
    <t>Faisalabad</t>
  </si>
  <si>
    <t>Islamabad</t>
  </si>
  <si>
    <t xml:space="preserve"> Total-Revenue</t>
  </si>
  <si>
    <t>Peshawar</t>
  </si>
  <si>
    <t>Karachi</t>
  </si>
  <si>
    <t>Khanpur</t>
  </si>
  <si>
    <t>Lahore</t>
  </si>
  <si>
    <t>Muree</t>
  </si>
  <si>
    <t>Grand Total</t>
  </si>
  <si>
    <t>Avg-Order-Value-By-City</t>
  </si>
  <si>
    <t>Project_Report</t>
  </si>
  <si>
    <t>City</t>
  </si>
  <si>
    <t>Total-Orders</t>
  </si>
  <si>
    <t>Avg-Order-Value</t>
  </si>
  <si>
    <t xml:space="preserve"> Avg-Order-Value</t>
  </si>
  <si>
    <t>faisalabad</t>
  </si>
  <si>
    <t>islamabad</t>
  </si>
  <si>
    <t>khanpur</t>
  </si>
  <si>
    <t>muree</t>
  </si>
  <si>
    <t>Top_Cities_By_Revenue_Share</t>
  </si>
  <si>
    <t xml:space="preserve">                     Project_Report</t>
  </si>
  <si>
    <t>City-Name</t>
  </si>
  <si>
    <t>Revenue-Share-Pct</t>
  </si>
  <si>
    <t xml:space="preserve"> Revenue-Share-Pct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</si>
</sst>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20"/>
      <color theme="4" tint="0.4"/>
      <name val="Calibri"/>
      <charset val="134"/>
      <scheme val="minor"/>
    </font>
    <font>
      <b/>
      <sz val="18"/>
      <color theme="4" tint="-0.5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4" tint="-0.5"/>
      <name val="Calibri"/>
      <charset val="134"/>
      <scheme val="minor"/>
    </font>
    <font>
      <b/>
      <sz val="14"/>
      <color theme="4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3" fillId="4" borderId="0" xfId="0" applyFont="1" applyFill="1">
      <alignment vertical="center"/>
    </xf>
    <xf numFmtId="0" fontId="0" fillId="4" borderId="0" xfId="0" applyFill="1">
      <alignment vertical="center"/>
    </xf>
    <xf numFmtId="3" fontId="0" fillId="4" borderId="0" xfId="0" applyNumberFormat="1" applyFill="1">
      <alignment vertical="center"/>
    </xf>
    <xf numFmtId="0" fontId="3" fillId="4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5" borderId="0" xfId="0" applyFont="1" applyFill="1">
      <alignment vertical="center"/>
    </xf>
    <xf numFmtId="0" fontId="0" fillId="6" borderId="0" xfId="0" applyFill="1">
      <alignment vertical="center"/>
    </xf>
    <xf numFmtId="3" fontId="0" fillId="0" borderId="0" xfId="0" applyNumberFormat="1">
      <alignment vertical="center"/>
    </xf>
    <xf numFmtId="3" fontId="0" fillId="6" borderId="0" xfId="0" applyNumberFormat="1" applyFill="1">
      <alignment vertical="center"/>
    </xf>
    <xf numFmtId="0" fontId="0" fillId="0" borderId="0" xfId="0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4" fontId="0" fillId="2" borderId="0" xfId="0" applyNumberForma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7">
    <dxf>
      <fill>
        <patternFill patternType="solid">
          <bgColor theme="4" tint="-0.25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theme="4" tint="-0.25"/>
        </patternFill>
      </fill>
    </dxf>
    <dxf>
      <numFmt numFmtId="4" formatCode="#,##0.00"/>
    </dxf>
    <dxf>
      <numFmt numFmtId="4" formatCode="#,##0.0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b val="1"/>
      </font>
    </dxf>
    <dxf>
      <fill>
        <patternFill patternType="solid">
          <bgColor theme="4" tint="-0.25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numFmt numFmtId="3" formatCode="#,##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Of Top 5 Cities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Sheet3!$E$18:$E$22</c:f>
              <c:strCache>
                <c:ptCount val="5"/>
                <c:pt idx="0">
                  <c:v>Islamabad</c:v>
                </c:pt>
                <c:pt idx="1">
                  <c:v>Karachi</c:v>
                </c:pt>
                <c:pt idx="2">
                  <c:v>khanpur</c:v>
                </c:pt>
                <c:pt idx="3">
                  <c:v>Lahore</c:v>
                </c:pt>
                <c:pt idx="4">
                  <c:v>Peshawar</c:v>
                </c:pt>
              </c:strCache>
            </c:strRef>
          </c:cat>
          <c:val>
            <c:numRef>
              <c:f>Sheet3!$F$18:$F$22</c:f>
              <c:numCache>
                <c:formatCode>General</c:formatCode>
                <c:ptCount val="5"/>
                <c:pt idx="0">
                  <c:v>25.1</c:v>
                </c:pt>
                <c:pt idx="1">
                  <c:v>30.1</c:v>
                </c:pt>
                <c:pt idx="2">
                  <c:v>3.1</c:v>
                </c:pt>
                <c:pt idx="3">
                  <c:v>27</c:v>
                </c:pt>
                <c:pt idx="4">
                  <c:v>11.5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292100</xdr:colOff>
      <xdr:row>13</xdr:row>
      <xdr:rowOff>57150</xdr:rowOff>
    </xdr:from>
    <xdr:to>
      <xdr:col>11</xdr:col>
      <xdr:colOff>69850</xdr:colOff>
      <xdr:row>27</xdr:row>
      <xdr:rowOff>133350</xdr:rowOff>
    </xdr:to>
    <xdr:graphicFrame>
      <xdr:nvGraphicFramePr>
        <xdr:cNvPr id="6" name="Chart 5"/>
        <xdr:cNvGraphicFramePr/>
      </xdr:nvGraphicFramePr>
      <xdr:xfrm>
        <a:off x="4864100" y="2781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9.9755787037" refreshedBy="BAKHTAWAR" recordCount="7">
  <cacheSource type="worksheet">
    <worksheetSource ref="E4:F11" sheet="Sheet1"/>
  </cacheSource>
  <cacheFields count="2">
    <cacheField name="City Name" numFmtId="0">
      <sharedItems count="7">
        <s v="Faisalabad"/>
        <s v="Islamabad"/>
        <s v="Peshawar"/>
        <s v="Karachi"/>
        <s v="Khanpur"/>
        <s v="Lahore"/>
        <s v="Muree"/>
      </sharedItems>
    </cacheField>
    <cacheField name="Total-Revenue" numFmtId="0">
      <sharedItems containsSemiMixedTypes="0" containsString="0" containsNumber="1" containsInteger="1" minValue="70000" maxValue="2585000" count="7">
        <n v="2585000"/>
        <n v="2325000"/>
        <n v="70000"/>
        <n v="990000"/>
        <n v="500000"/>
        <n v="270000"/>
        <n v="2000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9.9830208333" refreshedBy="BAKHTAWAR" recordCount="8">
  <cacheSource type="worksheet">
    <worksheetSource ref="C3:F11" sheet="Sheet2"/>
  </cacheSource>
  <cacheFields count="4">
    <cacheField name="City" numFmtId="0">
      <sharedItems count="7">
        <s v="Karachi"/>
        <s v="Lahore"/>
        <s v="Islamabad"/>
        <s v="Peshawar"/>
        <s v="khanpur"/>
        <s v="muree"/>
        <s v="faisalabad"/>
      </sharedItems>
    </cacheField>
    <cacheField name="Total-Orders" numFmtId="0">
      <sharedItems containsSemiMixedTypes="0" containsString="0" containsNumber="1" containsInteger="1" minValue="1" maxValue="10" count="5">
        <n v="7"/>
        <n v="5"/>
        <n v="10"/>
        <n v="3"/>
        <n v="1"/>
      </sharedItems>
    </cacheField>
    <cacheField name="Total-Revenue" numFmtId="0">
      <sharedItems containsSemiMixedTypes="0" containsString="0" containsNumber="1" containsInteger="1" minValue="70000" maxValue="2585000" count="8">
        <n v="2585000"/>
        <n v="2325000"/>
        <n v="1658000"/>
        <n v="990000"/>
        <n v="500000"/>
        <n v="270000"/>
        <n v="200000"/>
        <n v="70000"/>
      </sharedItems>
    </cacheField>
    <cacheField name="Avg-Order-Value" numFmtId="0">
      <sharedItems containsSemiMixedTypes="0" containsString="0" containsNumber="1" containsInteger="1" minValue="40000" maxValue="465000" count="8">
        <n v="369286"/>
        <n v="465000"/>
        <n v="165800"/>
        <n v="198000"/>
        <n v="100000"/>
        <n v="90000"/>
        <n v="40000"/>
        <n v="7000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0.0011111111" refreshedBy="BAKHTAWAR" recordCount="8">
  <cacheSource type="worksheet">
    <worksheetSource ref="C3:E11" sheet="Sheet3"/>
  </cacheSource>
  <cacheFields count="3">
    <cacheField name="City-Name" numFmtId="0">
      <sharedItems count="7">
        <s v="Karachi"/>
        <s v="Lahore"/>
        <s v="Islamabad"/>
        <s v="Peshawar"/>
        <s v="khanpur"/>
        <s v="muree"/>
        <s v="faisalabad"/>
      </sharedItems>
    </cacheField>
    <cacheField name="Total-Revenue" numFmtId="0">
      <sharedItems containsSemiMixedTypes="0" containsString="0" containsNumber="1" containsInteger="1" minValue="70000" maxValue="2585000" count="8">
        <n v="2585000"/>
        <n v="2325000"/>
        <n v="1658000"/>
        <n v="990000"/>
        <n v="500000"/>
        <n v="270000"/>
        <n v="200000"/>
        <n v="70000"/>
      </sharedItems>
    </cacheField>
    <cacheField name="Revenue-Share-Pct" numFmtId="0">
      <sharedItems containsSemiMixedTypes="0" containsString="0" containsNumber="1" minValue="0.8" maxValue="30.1" count="8">
        <n v="30.1"/>
        <n v="27"/>
        <n v="19.3"/>
        <n v="11.5"/>
        <n v="5.8"/>
        <n v="3.1"/>
        <n v="2.3"/>
        <n v="0.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">
  <r>
    <x v="0"/>
    <x v="0"/>
    <x v="0"/>
    <x v="0"/>
  </r>
  <r>
    <x v="1"/>
    <x v="1"/>
    <x v="1"/>
    <x v="1"/>
  </r>
  <r>
    <x v="2"/>
    <x v="2"/>
    <x v="2"/>
    <x v="2"/>
  </r>
  <r>
    <x v="3"/>
    <x v="1"/>
    <x v="3"/>
    <x v="3"/>
  </r>
  <r>
    <x v="2"/>
    <x v="1"/>
    <x v="4"/>
    <x v="4"/>
  </r>
  <r>
    <x v="4"/>
    <x v="3"/>
    <x v="5"/>
    <x v="5"/>
  </r>
  <r>
    <x v="5"/>
    <x v="1"/>
    <x v="6"/>
    <x v="6"/>
  </r>
  <r>
    <x v="6"/>
    <x v="4"/>
    <x v="7"/>
    <x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8">
  <r>
    <x v="0"/>
    <x v="0"/>
    <x v="0"/>
  </r>
  <r>
    <x v="1"/>
    <x v="1"/>
    <x v="1"/>
  </r>
  <r>
    <x v="2"/>
    <x v="2"/>
    <x v="2"/>
  </r>
  <r>
    <x v="3"/>
    <x v="3"/>
    <x v="3"/>
  </r>
  <r>
    <x v="2"/>
    <x v="4"/>
    <x v="4"/>
  </r>
  <r>
    <x v="4"/>
    <x v="5"/>
    <x v="5"/>
  </r>
  <r>
    <x v="5"/>
    <x v="6"/>
    <x v="6"/>
  </r>
  <r>
    <x v="6"/>
    <x v="7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6:J14" firstHeaderRow="1" firstDataRow="1" firstDataCol="1"/>
  <pivotFields count="2">
    <pivotField axis="axisRow" compact="0" showAll="0">
      <items count="8">
        <item x="0"/>
        <item x="1"/>
        <item x="3"/>
        <item x="4"/>
        <item x="5"/>
        <item x="6"/>
        <item x="2"/>
        <item t="default"/>
      </items>
    </pivotField>
    <pivotField dataField="1" compact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 Total-Revenue" fld="1" baseField="0" baseItem="0" numFmtId="4"/>
  </dataFields>
  <formats count="5">
    <format dxfId="0">
      <pivotArea field="0" type="button" dataOnly="0" labelOnly="1" outline="0" fieldPosition="0"/>
    </format>
    <format dxfId="1">
      <pivotArea dataOnly="0" labelOnly="1" grandRow="1" fieldPosition="0"/>
    </format>
    <format dxfId="2">
      <pivotArea grandRow="1" collapsedLevelsAreSubtotals="1" fieldPosition="0"/>
    </format>
    <format dxfId="3">
      <pivotArea collapsedLevelsAreSubtotals="1" fieldPosition="0"/>
    </format>
    <format dxfId="4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5:K13" firstHeaderRow="0" firstDataRow="1" firstDataCol="1"/>
  <pivotFields count="4">
    <pivotField axis="axisRow" compact="0" showAll="0">
      <items count="8">
        <item x="6"/>
        <item x="2"/>
        <item x="0"/>
        <item x="4"/>
        <item x="1"/>
        <item x="5"/>
        <item x="3"/>
        <item t="default"/>
      </items>
    </pivotField>
    <pivotField compact="0" showAll="0"/>
    <pivotField dataField="1" compact="0" showAll="0"/>
    <pivotField dataField="1" compact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 Avg-Order-Value" fld="3" subtotal="average" baseField="0" baseItem="0" numFmtId="3"/>
    <dataField name=" Total-Revenue" fld="2" baseField="0" baseItem="0" numFmtId="3"/>
  </dataFields>
  <formats count="6">
    <format dxfId="5">
      <pivotArea field="0" type="button" dataOnly="0" labelOnly="1" outline="0" fieldPosition="0"/>
    </format>
    <format dxfId="6">
      <pivotArea dataOnly="0" labelOnly="1" fieldPosition="0">
        <references count="1">
          <reference field="4294967294" count="1">
            <x v="0"/>
          </reference>
        </references>
      </pivotArea>
    </format>
    <format dxfId="7">
      <pivotArea dataOnly="0" labelOnly="1" fieldPosition="0">
        <references count="1">
          <reference field="4294967294" count="1">
            <x v="1"/>
          </reference>
        </references>
      </pivotArea>
    </format>
    <format dxfId="8">
      <pivotArea dataOnly="0" labelOnly="1" grandRow="1" fieldPosition="0"/>
    </format>
    <format dxfId="9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grandRow="1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4:J10" firstHeaderRow="0" firstDataRow="1" firstDataCol="1"/>
  <pivotFields count="3">
    <pivotField axis="axisRow" measureFilter="1" compact="0" showAll="0">
      <items count="8">
        <item x="6"/>
        <item x="2"/>
        <item x="0"/>
        <item x="4"/>
        <item x="1"/>
        <item x="5"/>
        <item x="3"/>
        <item t="default"/>
      </items>
    </pivotField>
    <pivotField dataField="1" compact="0" showAll="0"/>
    <pivotField dataField="1" compact="0" showAll="0"/>
  </pivotFields>
  <rowFields count="1">
    <field x="0"/>
  </rowFields>
  <rowItems count="6">
    <i>
      <x v="1"/>
    </i>
    <i>
      <x v="2"/>
    </i>
    <i>
      <x v="3"/>
    </i>
    <i>
      <x v="4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 Total-Revenue" fld="1" baseField="0" baseItem="0" numFmtId="3"/>
    <dataField name=" Revenue-Share-Pct" fld="2" baseField="0" baseItem="0"/>
  </dataFields>
  <formats count="9">
    <format dxfId="11">
      <pivotArea field="0" type="button" dataOnly="0" labelOnly="1" outline="0" fieldPosition="0"/>
    </format>
    <format dxfId="12">
      <pivotArea field="0" type="button" dataOnly="0" labelOnly="1" outline="0" fieldPosition="0"/>
    </format>
    <format dxfId="13">
      <pivotArea field="0" type="button" dataOnly="0" labelOnly="1" outline="0" fieldPosition="0"/>
    </format>
    <format dxfId="14">
      <pivotArea dataOnly="0" labelOnly="1" fieldPosition="0">
        <references count="1">
          <reference field="4294967294" count="1">
            <x v="0"/>
          </reference>
        </references>
      </pivotArea>
    </format>
    <format dxfId="15">
      <pivotArea dataOnly="0" labelOnly="1" fieldPosition="0">
        <references count="1">
          <reference field="4294967294" count="1">
            <x v="1"/>
          </reference>
        </references>
      </pivotArea>
    </format>
    <format dxfId="16">
      <pivotArea dataOnly="0" labelOnly="1" grandRow="1" fieldPosition="0"/>
    </format>
    <format dxfId="17">
      <pivotArea grandRow="1" collapsedLevelsAreSubtotals="1" fieldPosition="0"/>
    </format>
    <format dxfId="18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19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Preset2_Accent1" showRowHeaders="1" showColHeaders="1"/>
  <filters count="1">
    <filter evalOrder="-1" fld="0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H18" sqref="H18"/>
    </sheetView>
  </sheetViews>
  <sheetFormatPr defaultColWidth="9.14285714285714" defaultRowHeight="15"/>
  <cols>
    <col min="5" max="5" width="12.8571428571429" customWidth="1"/>
    <col min="6" max="6" width="14.8571428571429" customWidth="1"/>
    <col min="7" max="7" width="10.8571428571429" customWidth="1"/>
    <col min="9" max="9" width="12.8571428571429"/>
    <col min="10" max="10" width="15.5714285714286"/>
  </cols>
  <sheetData>
    <row r="1" s="20" customFormat="1" spans="1:10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22"/>
      <c r="B2" s="22"/>
      <c r="C2" s="22"/>
      <c r="D2" s="22"/>
      <c r="E2" s="22"/>
      <c r="F2" s="22"/>
      <c r="G2" s="22"/>
      <c r="H2" s="22"/>
      <c r="I2" s="22"/>
      <c r="J2" s="22"/>
    </row>
    <row r="3" ht="18.75" spans="1:10">
      <c r="A3" s="23" t="s">
        <v>1</v>
      </c>
      <c r="B3" s="24"/>
      <c r="C3" s="24"/>
      <c r="D3" s="24"/>
      <c r="E3" s="24"/>
      <c r="F3" s="24"/>
      <c r="G3" s="24"/>
      <c r="H3" s="24"/>
    </row>
    <row r="4" ht="15.75" spans="1:10">
      <c r="E4" s="25" t="s">
        <v>2</v>
      </c>
      <c r="F4" s="25" t="s">
        <v>3</v>
      </c>
    </row>
    <row r="5" spans="1:10">
      <c r="A5" s="26"/>
      <c r="B5" s="26"/>
      <c r="E5" t="s">
        <v>4</v>
      </c>
      <c r="F5">
        <v>2585000</v>
      </c>
    </row>
    <row r="6" spans="1:10">
      <c r="E6" t="s">
        <v>5</v>
      </c>
      <c r="F6">
        <v>2325000</v>
      </c>
      <c r="I6" s="27" t="s">
        <v>2</v>
      </c>
      <c r="J6" t="s">
        <v>6</v>
      </c>
    </row>
    <row r="7" spans="1:10">
      <c r="E7" t="s">
        <v>7</v>
      </c>
      <c r="F7">
        <v>70000</v>
      </c>
      <c r="I7" t="s">
        <v>4</v>
      </c>
      <c r="J7" s="28">
        <v>2585000</v>
      </c>
    </row>
    <row r="8" spans="1:10">
      <c r="E8" t="s">
        <v>8</v>
      </c>
      <c r="F8">
        <v>990000</v>
      </c>
      <c r="I8" t="s">
        <v>5</v>
      </c>
      <c r="J8" s="28">
        <v>2325000</v>
      </c>
    </row>
    <row r="9" spans="1:10">
      <c r="E9" t="s">
        <v>9</v>
      </c>
      <c r="F9">
        <v>500000</v>
      </c>
      <c r="I9" t="s">
        <v>8</v>
      </c>
      <c r="J9" s="28">
        <v>990000</v>
      </c>
    </row>
    <row r="10" spans="1:10">
      <c r="E10" t="s">
        <v>10</v>
      </c>
      <c r="F10">
        <v>270000</v>
      </c>
      <c r="I10" t="s">
        <v>9</v>
      </c>
      <c r="J10" s="28">
        <v>500000</v>
      </c>
    </row>
    <row r="11" spans="1:10">
      <c r="E11" t="s">
        <v>11</v>
      </c>
      <c r="F11">
        <v>200000</v>
      </c>
      <c r="I11" t="s">
        <v>10</v>
      </c>
      <c r="J11" s="28">
        <v>270000</v>
      </c>
    </row>
    <row r="12" spans="1:10">
      <c r="I12" t="s">
        <v>11</v>
      </c>
      <c r="J12" s="28">
        <v>200000</v>
      </c>
    </row>
    <row r="13" spans="1:10">
      <c r="I13" t="s">
        <v>7</v>
      </c>
      <c r="J13" s="28">
        <v>70000</v>
      </c>
    </row>
    <row r="14" spans="1:10">
      <c r="I14" s="27" t="s">
        <v>12</v>
      </c>
      <c r="J14" s="28">
        <v>6940000</v>
      </c>
    </row>
  </sheetData>
  <sortState ref="E5:E12">
    <sortCondition ref="E5"/>
  </sortState>
  <mergeCells count="2">
    <mergeCell ref="A3:H3"/>
    <mergeCell ref="A1:J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J15" sqref="J15"/>
    </sheetView>
  </sheetViews>
  <sheetFormatPr defaultColWidth="9.14285714285714" defaultRowHeight="15"/>
  <cols>
    <col min="2" max="2" width="12.4285714285714" customWidth="1"/>
    <col min="4" max="4" width="12.1428571428571" customWidth="1"/>
    <col min="5" max="5" width="13.8571428571429" customWidth="1"/>
    <col min="6" max="6" width="15.2857142857143" customWidth="1"/>
    <col min="9" max="9" width="12.1428571428571"/>
    <col min="10" max="11" width="17.8571428571429"/>
  </cols>
  <sheetData>
    <row r="1" ht="28.5" spans="1:11">
      <c r="A1" s="12" t="s">
        <v>13</v>
      </c>
      <c r="B1" s="13"/>
      <c r="C1" s="13"/>
      <c r="D1" s="13"/>
      <c r="E1" s="13"/>
      <c r="F1" s="13"/>
      <c r="G1" s="13"/>
      <c r="H1" s="13"/>
      <c r="I1" s="13"/>
      <c r="J1" s="13"/>
    </row>
    <row r="2" ht="23.25" spans="1:11">
      <c r="B2" s="14" t="s">
        <v>14</v>
      </c>
      <c r="C2" s="15"/>
      <c r="D2" s="15"/>
      <c r="E2" s="15"/>
      <c r="F2" s="15"/>
      <c r="G2" s="15"/>
      <c r="H2" s="15"/>
    </row>
    <row r="3" spans="1:11">
      <c r="C3" s="16" t="s">
        <v>15</v>
      </c>
      <c r="D3" s="16" t="s">
        <v>16</v>
      </c>
      <c r="E3" s="16" t="s">
        <v>3</v>
      </c>
      <c r="F3" s="16" t="s">
        <v>17</v>
      </c>
    </row>
    <row r="4" spans="1:11">
      <c r="C4" t="s">
        <v>8</v>
      </c>
      <c r="D4">
        <v>7</v>
      </c>
      <c r="E4">
        <v>2585000</v>
      </c>
      <c r="F4">
        <v>369286</v>
      </c>
    </row>
    <row r="5" spans="1:11">
      <c r="C5" t="s">
        <v>10</v>
      </c>
      <c r="D5">
        <v>5</v>
      </c>
      <c r="E5">
        <v>2325000</v>
      </c>
      <c r="F5">
        <v>465000</v>
      </c>
      <c r="I5" s="17" t="s">
        <v>15</v>
      </c>
      <c r="J5" s="17" t="s">
        <v>18</v>
      </c>
      <c r="K5" s="17" t="s">
        <v>6</v>
      </c>
    </row>
    <row r="6" spans="1:11">
      <c r="C6" t="s">
        <v>5</v>
      </c>
      <c r="D6">
        <v>10</v>
      </c>
      <c r="E6">
        <v>1658000</v>
      </c>
      <c r="F6">
        <v>165800</v>
      </c>
      <c r="I6" t="s">
        <v>19</v>
      </c>
      <c r="J6" s="18">
        <v>70000</v>
      </c>
      <c r="K6" s="18">
        <v>70000</v>
      </c>
    </row>
    <row r="7" spans="1:11">
      <c r="C7" t="s">
        <v>7</v>
      </c>
      <c r="D7">
        <v>5</v>
      </c>
      <c r="E7">
        <v>990000</v>
      </c>
      <c r="F7">
        <v>198000</v>
      </c>
      <c r="I7" t="s">
        <v>5</v>
      </c>
      <c r="J7" s="18">
        <v>132900</v>
      </c>
      <c r="K7" s="18">
        <v>2158000</v>
      </c>
    </row>
    <row r="8" spans="1:11">
      <c r="C8" t="s">
        <v>20</v>
      </c>
      <c r="D8">
        <v>5</v>
      </c>
      <c r="E8">
        <v>500000</v>
      </c>
      <c r="F8">
        <v>100000</v>
      </c>
      <c r="I8" t="s">
        <v>8</v>
      </c>
      <c r="J8" s="18">
        <v>369286</v>
      </c>
      <c r="K8" s="18">
        <v>2585000</v>
      </c>
    </row>
    <row r="9" spans="1:11">
      <c r="C9" t="s">
        <v>21</v>
      </c>
      <c r="D9">
        <v>3</v>
      </c>
      <c r="E9">
        <v>270000</v>
      </c>
      <c r="F9">
        <v>90000</v>
      </c>
      <c r="I9" t="s">
        <v>21</v>
      </c>
      <c r="J9" s="18">
        <v>90000</v>
      </c>
      <c r="K9" s="18">
        <v>270000</v>
      </c>
    </row>
    <row r="10" spans="1:11">
      <c r="C10" t="s">
        <v>22</v>
      </c>
      <c r="D10">
        <v>5</v>
      </c>
      <c r="E10">
        <v>200000</v>
      </c>
      <c r="F10">
        <v>40000</v>
      </c>
      <c r="I10" t="s">
        <v>10</v>
      </c>
      <c r="J10" s="18">
        <v>465000</v>
      </c>
      <c r="K10" s="18">
        <v>2325000</v>
      </c>
    </row>
    <row r="11" spans="1:11">
      <c r="C11" t="s">
        <v>19</v>
      </c>
      <c r="D11">
        <v>1</v>
      </c>
      <c r="E11">
        <v>70000</v>
      </c>
      <c r="F11">
        <v>70000</v>
      </c>
      <c r="I11" t="s">
        <v>22</v>
      </c>
      <c r="J11" s="18">
        <v>40000</v>
      </c>
      <c r="K11" s="18">
        <v>200000</v>
      </c>
    </row>
    <row r="12" spans="1:11">
      <c r="I12" t="s">
        <v>7</v>
      </c>
      <c r="J12" s="18">
        <v>198000</v>
      </c>
      <c r="K12" s="18">
        <v>990000</v>
      </c>
    </row>
    <row r="13" spans="1:11">
      <c r="I13" s="17" t="s">
        <v>12</v>
      </c>
      <c r="J13" s="19">
        <v>187260.75</v>
      </c>
      <c r="K13" s="19">
        <v>8598000</v>
      </c>
    </row>
  </sheetData>
  <mergeCells count="2">
    <mergeCell ref="A1:J1"/>
    <mergeCell ref="B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zoomScale="70" zoomScaleNormal="70" topLeftCell="C5" workbookViewId="0">
      <selection activeCell="E18" sqref="E18:F22"/>
    </sheetView>
  </sheetViews>
  <sheetFormatPr defaultColWidth="9.14285714285714" defaultRowHeight="15"/>
  <cols>
    <col min="3" max="3" width="10.1428571428571" customWidth="1"/>
    <col min="4" max="4" width="13.5714285714286" customWidth="1"/>
    <col min="5" max="5" width="17.4285714285714" customWidth="1"/>
    <col min="8" max="8" width="13.1428571428571"/>
    <col min="9" max="10" width="20.1428571428571"/>
    <col min="11" max="13" width="13.1428571428571"/>
    <col min="14" max="14" width="11.8571428571429"/>
  </cols>
  <sheetData>
    <row r="1" ht="26.25" spans="1:10">
      <c r="A1" s="1" t="s">
        <v>23</v>
      </c>
      <c r="B1" s="2"/>
      <c r="C1" s="2"/>
      <c r="D1" s="2"/>
      <c r="E1" s="2"/>
      <c r="F1" s="2"/>
      <c r="G1" s="2"/>
      <c r="H1" s="2"/>
      <c r="I1" s="2"/>
    </row>
    <row r="2" ht="23.25" spans="1:10">
      <c r="A2" s="3" t="s">
        <v>24</v>
      </c>
      <c r="B2" s="4"/>
      <c r="C2" s="4"/>
      <c r="D2" s="4"/>
      <c r="E2" s="4"/>
      <c r="F2" s="4"/>
      <c r="G2" s="4"/>
    </row>
    <row r="3" spans="1:10">
      <c r="C3" s="5" t="s">
        <v>25</v>
      </c>
      <c r="D3" s="5" t="s">
        <v>3</v>
      </c>
      <c r="E3" s="5" t="s">
        <v>26</v>
      </c>
    </row>
    <row r="4" spans="1:10">
      <c r="C4" t="s">
        <v>8</v>
      </c>
      <c r="D4">
        <v>2585000</v>
      </c>
      <c r="E4">
        <v>30.1</v>
      </c>
      <c r="H4" s="6" t="s">
        <v>25</v>
      </c>
      <c r="I4" s="7" t="s">
        <v>6</v>
      </c>
      <c r="J4" s="7" t="s">
        <v>27</v>
      </c>
    </row>
    <row r="5" spans="1:10">
      <c r="C5" t="s">
        <v>10</v>
      </c>
      <c r="D5">
        <v>2325000</v>
      </c>
      <c r="E5">
        <v>27</v>
      </c>
      <c r="H5" t="s">
        <v>5</v>
      </c>
      <c r="I5" s="8">
        <v>2158000</v>
      </c>
      <c r="J5" s="7">
        <v>25.1</v>
      </c>
    </row>
    <row r="6" spans="1:10">
      <c r="C6" t="s">
        <v>5</v>
      </c>
      <c r="D6">
        <v>1658000</v>
      </c>
      <c r="E6">
        <v>19.3</v>
      </c>
      <c r="H6" t="s">
        <v>8</v>
      </c>
      <c r="I6" s="8">
        <v>2585000</v>
      </c>
      <c r="J6" s="7">
        <v>30.1</v>
      </c>
    </row>
    <row r="7" spans="1:10">
      <c r="C7" t="s">
        <v>7</v>
      </c>
      <c r="D7">
        <v>990000</v>
      </c>
      <c r="E7">
        <v>11.5</v>
      </c>
      <c r="H7" t="s">
        <v>21</v>
      </c>
      <c r="I7" s="8">
        <v>270000</v>
      </c>
      <c r="J7" s="7">
        <v>3.1</v>
      </c>
    </row>
    <row r="8" spans="1:10">
      <c r="C8" t="s">
        <v>20</v>
      </c>
      <c r="D8">
        <v>500000</v>
      </c>
      <c r="E8">
        <v>5.8</v>
      </c>
      <c r="H8" t="s">
        <v>10</v>
      </c>
      <c r="I8" s="8">
        <v>2325000</v>
      </c>
      <c r="J8" s="7">
        <v>27</v>
      </c>
    </row>
    <row r="9" spans="1:10">
      <c r="C9" t="s">
        <v>21</v>
      </c>
      <c r="D9">
        <v>270000</v>
      </c>
      <c r="E9">
        <v>3.1</v>
      </c>
      <c r="H9" t="s">
        <v>7</v>
      </c>
      <c r="I9" s="8">
        <v>990000</v>
      </c>
      <c r="J9" s="7">
        <v>11.5</v>
      </c>
    </row>
    <row r="10" spans="1:10">
      <c r="C10" t="s">
        <v>22</v>
      </c>
      <c r="D10">
        <v>200000</v>
      </c>
      <c r="E10">
        <v>2.3</v>
      </c>
      <c r="H10" s="7" t="s">
        <v>12</v>
      </c>
      <c r="I10" s="8">
        <v>8328000</v>
      </c>
      <c r="J10" s="7">
        <v>96.8</v>
      </c>
    </row>
    <row r="11" spans="1:10">
      <c r="C11" t="s">
        <v>19</v>
      </c>
      <c r="D11">
        <v>70000</v>
      </c>
      <c r="E11">
        <v>0.8</v>
      </c>
    </row>
    <row r="17" spans="5:6">
      <c r="E17" s="9"/>
      <c r="F17" s="9"/>
    </row>
    <row r="18" spans="5:6">
      <c r="E18" t="s">
        <v>5</v>
      </c>
      <c r="F18" s="7">
        <v>25.1</v>
      </c>
    </row>
    <row r="19" spans="5:6">
      <c r="E19" t="s">
        <v>8</v>
      </c>
      <c r="F19" s="7">
        <v>30.1</v>
      </c>
    </row>
    <row r="20" spans="5:6">
      <c r="E20" t="s">
        <v>21</v>
      </c>
      <c r="F20" s="7">
        <v>3.1</v>
      </c>
    </row>
    <row r="21" spans="5:6">
      <c r="E21" t="s">
        <v>10</v>
      </c>
      <c r="F21" s="7">
        <v>27</v>
      </c>
    </row>
    <row r="22" spans="5:6">
      <c r="E22" s="10" t="s">
        <v>7</v>
      </c>
      <c r="F22" s="11">
        <v>11.5</v>
      </c>
    </row>
  </sheetData>
  <mergeCells count="2">
    <mergeCell ref="A1:I1"/>
    <mergeCell ref="A2:G2"/>
  </mergeCells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BAKHTAWAR</dc:creator>
  <cp:lastModifiedBy>BAKHTAWAR</cp:lastModifiedBy>
  <dcterms:created xsi:type="dcterms:W3CDTF">2026-06-26T15:25:00Z</dcterms:created>
  <dcterms:modified xsi:type="dcterms:W3CDTF">2026-06-26T20:06:38Z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C302E4FFD6D94311854E3D692E242277_13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